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47DCC4AE-25F5-4622-B045-0F9DCFB312DB}" xr6:coauthVersionLast="47" xr6:coauthVersionMax="47" xr10:uidLastSave="{00000000-0000-0000-0000-000000000000}"/>
  <bookViews>
    <workbookView xWindow="4095" yWindow="5535" windowWidth="28800" windowHeight="15345" xr2:uid="{971A8C0A-37D0-4D95-9F58-4798430D2526}"/>
  </bookViews>
  <sheets>
    <sheet name="enem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0" i="1" l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4" i="1"/>
  <c r="E21" i="1"/>
</calcChain>
</file>

<file path=xl/sharedStrings.xml><?xml version="1.0" encoding="utf-8"?>
<sst xmlns="http://schemas.openxmlformats.org/spreadsheetml/2006/main" count="102" uniqueCount="36">
  <si>
    <t>id</t>
  </si>
  <si>
    <t>int</t>
  </si>
  <si>
    <t>name</t>
  </si>
  <si>
    <t>string</t>
  </si>
  <si>
    <t>enemy_type</t>
  </si>
  <si>
    <t>model_id</t>
  </si>
  <si>
    <t>max_hp</t>
  </si>
  <si>
    <t>move_speed</t>
  </si>
  <si>
    <t>float</t>
  </si>
  <si>
    <t>touch_damage</t>
  </si>
  <si>
    <t>collision_radius</t>
  </si>
  <si>
    <t>armor</t>
  </si>
  <si>
    <t>magic_resist</t>
  </si>
  <si>
    <t>attack_interval</t>
  </si>
  <si>
    <t>exp_reward</t>
  </si>
  <si>
    <t>gold_reward</t>
  </si>
  <si>
    <t>skill_ids</t>
  </si>
  <si>
    <t>notes</t>
  </si>
  <si>
    <t>怪物唯一ID</t>
  </si>
  <si>
    <t>怪物名称</t>
  </si>
  <si>
    <t>类型枚举(1普通/2精英/3Boss)</t>
  </si>
  <si>
    <t>最大生命</t>
  </si>
  <si>
    <t>移动速度</t>
  </si>
  <si>
    <t>近战伤害</t>
  </si>
  <si>
    <t>碰撞半径</t>
  </si>
  <si>
    <t>护甲</t>
  </si>
  <si>
    <t>魔抗</t>
  </si>
  <si>
    <t>攻击间隔(秒)</t>
  </si>
  <si>
    <t>经验奖励</t>
  </si>
  <si>
    <t>金币奖励</t>
  </si>
  <si>
    <t>技能ID列表(逗号分隔)</t>
  </si>
  <si>
    <t>备注</t>
  </si>
  <si>
    <t>近战小兵</t>
    <phoneticPr fontId="1" type="noConversion"/>
  </si>
  <si>
    <t>精英小兵</t>
    <phoneticPr fontId="1" type="noConversion"/>
  </si>
  <si>
    <t>首领</t>
    <phoneticPr fontId="1" type="noConversion"/>
  </si>
  <si>
    <t>模型ID(对应assets/heroes/models_3d/index.json中的profile_id)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</si>
</sst>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F9F6-12A4-4ED3-96A9-4509B79B9EB7}">
  <dimension ref="A1:O60"/>
  <sheetViews>
    <sheetView tabSelected="1" workbookViewId="0">
      <selection activeCell="M16" sqref="M16"/>
    </sheetView>
  </sheetViews>
  <sheetFormatPr defaultRowHeight="14.25" x14ac:dyDescent="0.2"/>
  <cols>
    <col min="1" max="1" width="10.875" style="1" bestFit="1" customWidth="1"/>
    <col min="2" max="2" width="9" style="1"/>
    <col min="3" max="3" width="27.375" style="1" bestFit="1" customWidth="1"/>
    <col min="4" max="4" width="38.5" style="1" bestFit="1" customWidth="1"/>
    <col min="5" max="5" width="9" style="1"/>
    <col min="6" max="6" width="12.125" style="1" bestFit="1" customWidth="1"/>
    <col min="7" max="7" width="14.125" style="1" bestFit="1" customWidth="1"/>
    <col min="8" max="8" width="13.875" style="1" bestFit="1" customWidth="1"/>
    <col min="9" max="9" width="6.5" style="1" bestFit="1" customWidth="1"/>
    <col min="10" max="10" width="11.5" style="1" bestFit="1" customWidth="1"/>
    <col min="11" max="11" width="13.5" style="1" bestFit="1" customWidth="1"/>
    <col min="12" max="12" width="11.125" style="1" bestFit="1" customWidth="1"/>
    <col min="13" max="13" width="11.875" style="1" bestFit="1" customWidth="1"/>
    <col min="14" max="14" width="20.25" style="1" bestFit="1" customWidth="1"/>
    <col min="15" max="15" width="15" style="1" bestFit="1" customWidth="1"/>
    <col min="16" max="16384" width="9" style="1"/>
  </cols>
  <sheetData>
    <row r="1" spans="1:15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1" t="s">
        <v>1</v>
      </c>
      <c r="B2" s="1" t="s">
        <v>3</v>
      </c>
      <c r="C2" s="1" t="s">
        <v>1</v>
      </c>
      <c r="D2" s="1" t="s">
        <v>3</v>
      </c>
      <c r="E2" s="1" t="s">
        <v>1</v>
      </c>
      <c r="F2" s="1" t="s">
        <v>8</v>
      </c>
      <c r="G2" s="1" t="s">
        <v>1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1</v>
      </c>
      <c r="M2" s="1" t="s">
        <v>1</v>
      </c>
      <c r="N2" s="1" t="s">
        <v>3</v>
      </c>
      <c r="O2" s="1" t="s">
        <v>3</v>
      </c>
    </row>
    <row r="3" spans="1:15" x14ac:dyDescent="0.2">
      <c r="A3" s="1" t="s">
        <v>18</v>
      </c>
      <c r="B3" s="1" t="s">
        <v>19</v>
      </c>
      <c r="C3" s="1" t="s">
        <v>20</v>
      </c>
      <c r="D3" s="1" t="s">
        <v>35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</row>
    <row r="4" spans="1:15" x14ac:dyDescent="0.2">
      <c r="A4" s="1">
        <v>1001001</v>
      </c>
      <c r="B4" s="1" t="s">
        <v>32</v>
      </c>
      <c r="C4" s="1">
        <v>1</v>
      </c>
      <c r="D4" s="1">
        <v>1001</v>
      </c>
      <c r="E4" s="1">
        <v>350</v>
      </c>
      <c r="F4" s="1">
        <v>280</v>
      </c>
      <c r="G4" s="1">
        <v>1</v>
      </c>
      <c r="H4" s="1">
        <v>16</v>
      </c>
      <c r="I4" s="1">
        <v>5</v>
      </c>
      <c r="J4" s="1">
        <v>2.5</v>
      </c>
      <c r="K4" s="1">
        <v>1</v>
      </c>
      <c r="L4" s="1">
        <v>10</v>
      </c>
      <c r="M4" s="1">
        <v>47</v>
      </c>
      <c r="O4" s="1" t="str">
        <f>"第"&amp;VALUE(RIGHT(A4,2))&amp;"波杂兵"</f>
        <v>第1波杂兵</v>
      </c>
    </row>
    <row r="5" spans="1:15" x14ac:dyDescent="0.2">
      <c r="A5" s="1">
        <v>1001002</v>
      </c>
      <c r="B5" s="1" t="s">
        <v>32</v>
      </c>
      <c r="C5" s="1">
        <v>1</v>
      </c>
      <c r="D5" s="1">
        <v>1001</v>
      </c>
      <c r="E5" s="1">
        <v>1050</v>
      </c>
      <c r="F5" s="1">
        <v>280</v>
      </c>
      <c r="G5" s="1">
        <v>5</v>
      </c>
      <c r="H5" s="1">
        <v>16</v>
      </c>
      <c r="I5" s="1">
        <v>7</v>
      </c>
      <c r="J5" s="1">
        <v>3.5</v>
      </c>
      <c r="K5" s="1">
        <v>1</v>
      </c>
      <c r="L5" s="1">
        <v>10</v>
      </c>
      <c r="M5" s="1">
        <v>48</v>
      </c>
      <c r="O5" s="1" t="str">
        <f t="shared" ref="O5:O30" si="0">"第"&amp;VALUE(RIGHT(A5,2))&amp;"波杂兵"</f>
        <v>第2波杂兵</v>
      </c>
    </row>
    <row r="6" spans="1:15" x14ac:dyDescent="0.2">
      <c r="A6" s="1">
        <v>1001003</v>
      </c>
      <c r="B6" s="1" t="s">
        <v>32</v>
      </c>
      <c r="C6" s="1">
        <v>1</v>
      </c>
      <c r="D6" s="1">
        <v>1001</v>
      </c>
      <c r="E6" s="1">
        <v>2100</v>
      </c>
      <c r="F6" s="1">
        <v>280</v>
      </c>
      <c r="G6" s="1">
        <v>10</v>
      </c>
      <c r="H6" s="1">
        <v>16</v>
      </c>
      <c r="I6" s="1">
        <v>11</v>
      </c>
      <c r="J6" s="1">
        <v>5.5</v>
      </c>
      <c r="K6" s="1">
        <v>1</v>
      </c>
      <c r="L6" s="1">
        <v>10</v>
      </c>
      <c r="M6" s="1">
        <v>49</v>
      </c>
      <c r="O6" s="1" t="str">
        <f t="shared" si="0"/>
        <v>第3波杂兵</v>
      </c>
    </row>
    <row r="7" spans="1:15" x14ac:dyDescent="0.2">
      <c r="A7" s="1">
        <v>1001004</v>
      </c>
      <c r="B7" s="1" t="s">
        <v>32</v>
      </c>
      <c r="C7" s="1">
        <v>1</v>
      </c>
      <c r="D7" s="1">
        <v>1001</v>
      </c>
      <c r="E7" s="1">
        <v>3500</v>
      </c>
      <c r="F7" s="1">
        <v>280</v>
      </c>
      <c r="G7" s="1">
        <v>14</v>
      </c>
      <c r="H7" s="1">
        <v>16</v>
      </c>
      <c r="I7" s="1">
        <v>14</v>
      </c>
      <c r="J7" s="1">
        <v>7</v>
      </c>
      <c r="K7" s="1">
        <v>1.1000000000000001</v>
      </c>
      <c r="L7" s="1">
        <v>10</v>
      </c>
      <c r="M7" s="1">
        <v>50</v>
      </c>
      <c r="O7" s="1" t="str">
        <f t="shared" si="0"/>
        <v>第4波杂兵</v>
      </c>
    </row>
    <row r="8" spans="1:15" x14ac:dyDescent="0.2">
      <c r="A8" s="1">
        <v>1001005</v>
      </c>
      <c r="B8" s="1" t="s">
        <v>32</v>
      </c>
      <c r="C8" s="1">
        <v>1</v>
      </c>
      <c r="D8" s="1">
        <v>1001</v>
      </c>
      <c r="E8" s="1">
        <v>5600</v>
      </c>
      <c r="F8" s="1">
        <v>280</v>
      </c>
      <c r="G8" s="1">
        <v>20</v>
      </c>
      <c r="H8" s="1">
        <v>16</v>
      </c>
      <c r="I8" s="1">
        <v>17</v>
      </c>
      <c r="J8" s="1">
        <v>8.5</v>
      </c>
      <c r="K8" s="1">
        <v>1.1000000000000001</v>
      </c>
      <c r="L8" s="1">
        <v>10</v>
      </c>
      <c r="M8" s="1">
        <v>51</v>
      </c>
      <c r="O8" s="1" t="str">
        <f t="shared" si="0"/>
        <v>第5波杂兵</v>
      </c>
    </row>
    <row r="9" spans="1:15" x14ac:dyDescent="0.2">
      <c r="A9" s="1">
        <v>1001006</v>
      </c>
      <c r="B9" s="1" t="s">
        <v>32</v>
      </c>
      <c r="C9" s="1">
        <v>1</v>
      </c>
      <c r="D9" s="1">
        <v>1001</v>
      </c>
      <c r="E9" s="1">
        <v>7000</v>
      </c>
      <c r="F9" s="1">
        <v>280</v>
      </c>
      <c r="G9" s="1">
        <v>28</v>
      </c>
      <c r="H9" s="1">
        <v>16</v>
      </c>
      <c r="I9" s="1">
        <v>20</v>
      </c>
      <c r="J9" s="1">
        <v>10</v>
      </c>
      <c r="K9" s="1">
        <v>1.1000000000000001</v>
      </c>
      <c r="L9" s="1">
        <v>10</v>
      </c>
      <c r="M9" s="1">
        <v>52</v>
      </c>
      <c r="O9" s="1" t="str">
        <f t="shared" si="0"/>
        <v>第6波杂兵</v>
      </c>
    </row>
    <row r="10" spans="1:15" x14ac:dyDescent="0.2">
      <c r="A10" s="1">
        <v>1001007</v>
      </c>
      <c r="B10" s="1" t="s">
        <v>32</v>
      </c>
      <c r="C10" s="1">
        <v>1</v>
      </c>
      <c r="D10" s="1">
        <v>1001</v>
      </c>
      <c r="E10" s="1">
        <v>8400</v>
      </c>
      <c r="F10" s="1">
        <v>280</v>
      </c>
      <c r="G10" s="1">
        <v>36</v>
      </c>
      <c r="H10" s="1">
        <v>16</v>
      </c>
      <c r="I10" s="1">
        <v>23</v>
      </c>
      <c r="J10" s="1">
        <v>11.5</v>
      </c>
      <c r="K10" s="1">
        <v>1.1000000000000001</v>
      </c>
      <c r="L10" s="1">
        <v>10</v>
      </c>
      <c r="M10" s="1">
        <v>53</v>
      </c>
      <c r="O10" s="1" t="str">
        <f t="shared" si="0"/>
        <v>第7波杂兵</v>
      </c>
    </row>
    <row r="11" spans="1:15" x14ac:dyDescent="0.2">
      <c r="A11" s="1">
        <v>1001008</v>
      </c>
      <c r="B11" s="1" t="s">
        <v>32</v>
      </c>
      <c r="C11" s="1">
        <v>1</v>
      </c>
      <c r="D11" s="1">
        <v>1001</v>
      </c>
      <c r="E11" s="1">
        <v>9800</v>
      </c>
      <c r="F11" s="1">
        <v>280</v>
      </c>
      <c r="G11" s="1">
        <v>44</v>
      </c>
      <c r="H11" s="1">
        <v>16</v>
      </c>
      <c r="I11" s="1">
        <v>26</v>
      </c>
      <c r="J11" s="1">
        <v>13</v>
      </c>
      <c r="K11" s="1">
        <v>1.2</v>
      </c>
      <c r="L11" s="1">
        <v>10</v>
      </c>
      <c r="M11" s="1">
        <v>54</v>
      </c>
      <c r="O11" s="1" t="str">
        <f t="shared" si="0"/>
        <v>第8波杂兵</v>
      </c>
    </row>
    <row r="12" spans="1:15" x14ac:dyDescent="0.2">
      <c r="A12" s="1">
        <v>1001009</v>
      </c>
      <c r="B12" s="1" t="s">
        <v>32</v>
      </c>
      <c r="C12" s="1">
        <v>1</v>
      </c>
      <c r="D12" s="1">
        <v>1001</v>
      </c>
      <c r="E12" s="1">
        <v>11200</v>
      </c>
      <c r="F12" s="1">
        <v>280</v>
      </c>
      <c r="G12" s="1">
        <v>56</v>
      </c>
      <c r="H12" s="1">
        <v>16</v>
      </c>
      <c r="I12" s="1">
        <v>29</v>
      </c>
      <c r="J12" s="1">
        <v>14.5</v>
      </c>
      <c r="K12" s="1">
        <v>1.2</v>
      </c>
      <c r="L12" s="1">
        <v>10</v>
      </c>
      <c r="M12" s="1">
        <v>55</v>
      </c>
      <c r="O12" s="1" t="str">
        <f t="shared" si="0"/>
        <v>第9波杂兵</v>
      </c>
    </row>
    <row r="13" spans="1:15" x14ac:dyDescent="0.2">
      <c r="A13" s="1">
        <v>1001011</v>
      </c>
      <c r="B13" s="1" t="s">
        <v>32</v>
      </c>
      <c r="C13" s="1">
        <v>1</v>
      </c>
      <c r="D13" s="1">
        <v>1001</v>
      </c>
      <c r="E13" s="1">
        <v>18200</v>
      </c>
      <c r="F13" s="1">
        <v>280</v>
      </c>
      <c r="G13" s="1">
        <v>92</v>
      </c>
      <c r="H13" s="1">
        <v>16</v>
      </c>
      <c r="I13" s="1">
        <v>38</v>
      </c>
      <c r="J13" s="1">
        <v>19</v>
      </c>
      <c r="K13" s="1">
        <v>1.3</v>
      </c>
      <c r="L13" s="1">
        <v>10</v>
      </c>
      <c r="M13" s="1">
        <v>57</v>
      </c>
      <c r="O13" s="1" t="str">
        <f t="shared" si="0"/>
        <v>第11波杂兵</v>
      </c>
    </row>
    <row r="14" spans="1:15" x14ac:dyDescent="0.2">
      <c r="A14" s="1">
        <v>1001012</v>
      </c>
      <c r="B14" s="1" t="s">
        <v>32</v>
      </c>
      <c r="C14" s="1">
        <v>1</v>
      </c>
      <c r="D14" s="1">
        <v>1001</v>
      </c>
      <c r="E14" s="1">
        <v>21000</v>
      </c>
      <c r="F14" s="1">
        <v>280</v>
      </c>
      <c r="G14" s="1">
        <v>104</v>
      </c>
      <c r="H14" s="1">
        <v>16</v>
      </c>
      <c r="I14" s="1">
        <v>41</v>
      </c>
      <c r="J14" s="1">
        <v>20.5</v>
      </c>
      <c r="K14" s="1">
        <v>1.3</v>
      </c>
      <c r="L14" s="1">
        <v>10</v>
      </c>
      <c r="M14" s="1">
        <v>58</v>
      </c>
      <c r="O14" s="1" t="str">
        <f t="shared" si="0"/>
        <v>第12波杂兵</v>
      </c>
    </row>
    <row r="15" spans="1:15" x14ac:dyDescent="0.2">
      <c r="A15" s="1">
        <v>1001013</v>
      </c>
      <c r="B15" s="1" t="s">
        <v>32</v>
      </c>
      <c r="C15" s="1">
        <v>1</v>
      </c>
      <c r="D15" s="1">
        <v>1001</v>
      </c>
      <c r="E15" s="1">
        <v>24500</v>
      </c>
      <c r="F15" s="1">
        <v>280</v>
      </c>
      <c r="G15" s="1">
        <v>116</v>
      </c>
      <c r="H15" s="1">
        <v>16</v>
      </c>
      <c r="I15" s="1">
        <v>44</v>
      </c>
      <c r="J15" s="1">
        <v>22</v>
      </c>
      <c r="K15" s="1">
        <v>1.4</v>
      </c>
      <c r="L15" s="1">
        <v>10</v>
      </c>
      <c r="M15" s="1">
        <v>59</v>
      </c>
      <c r="O15" s="1" t="str">
        <f t="shared" si="0"/>
        <v>第13波杂兵</v>
      </c>
    </row>
    <row r="16" spans="1:15" x14ac:dyDescent="0.2">
      <c r="A16" s="1">
        <v>1001014</v>
      </c>
      <c r="B16" s="1" t="s">
        <v>32</v>
      </c>
      <c r="C16" s="1">
        <v>1</v>
      </c>
      <c r="D16" s="1">
        <v>1001</v>
      </c>
      <c r="E16" s="1">
        <v>35000</v>
      </c>
      <c r="F16" s="1">
        <v>280</v>
      </c>
      <c r="G16" s="1">
        <v>128</v>
      </c>
      <c r="H16" s="1">
        <v>16</v>
      </c>
      <c r="I16" s="1">
        <v>47</v>
      </c>
      <c r="J16" s="1">
        <v>23.5</v>
      </c>
      <c r="K16" s="1">
        <v>1.4</v>
      </c>
      <c r="L16" s="1">
        <v>10</v>
      </c>
      <c r="M16" s="1">
        <v>60</v>
      </c>
      <c r="O16" s="1" t="str">
        <f t="shared" si="0"/>
        <v>第14波杂兵</v>
      </c>
    </row>
    <row r="17" spans="1:15" x14ac:dyDescent="0.2">
      <c r="A17" s="1">
        <v>1001015</v>
      </c>
      <c r="B17" s="1" t="s">
        <v>32</v>
      </c>
      <c r="C17" s="1">
        <v>1</v>
      </c>
      <c r="D17" s="1">
        <v>1001</v>
      </c>
      <c r="E17" s="1">
        <v>38500</v>
      </c>
      <c r="F17" s="1">
        <v>280</v>
      </c>
      <c r="G17" s="1">
        <v>143</v>
      </c>
      <c r="H17" s="1">
        <v>16</v>
      </c>
      <c r="I17" s="1">
        <v>50</v>
      </c>
      <c r="J17" s="1">
        <v>25</v>
      </c>
      <c r="K17" s="1">
        <v>1.4</v>
      </c>
      <c r="L17" s="1">
        <v>10</v>
      </c>
      <c r="M17" s="1">
        <v>61</v>
      </c>
      <c r="O17" s="1" t="str">
        <f t="shared" si="0"/>
        <v>第15波杂兵</v>
      </c>
    </row>
    <row r="18" spans="1:15" x14ac:dyDescent="0.2">
      <c r="A18" s="1">
        <v>1001016</v>
      </c>
      <c r="B18" s="1" t="s">
        <v>32</v>
      </c>
      <c r="C18" s="1">
        <v>1</v>
      </c>
      <c r="D18" s="1">
        <v>1001</v>
      </c>
      <c r="E18" s="1">
        <v>42000</v>
      </c>
      <c r="F18" s="1">
        <v>280</v>
      </c>
      <c r="G18" s="1">
        <v>160</v>
      </c>
      <c r="H18" s="1">
        <v>16</v>
      </c>
      <c r="I18" s="1">
        <v>53</v>
      </c>
      <c r="J18" s="1">
        <v>26.5</v>
      </c>
      <c r="K18" s="1">
        <v>1.4</v>
      </c>
      <c r="L18" s="1">
        <v>10</v>
      </c>
      <c r="M18" s="1">
        <v>62</v>
      </c>
      <c r="O18" s="1" t="str">
        <f t="shared" si="0"/>
        <v>第16波杂兵</v>
      </c>
    </row>
    <row r="19" spans="1:15" x14ac:dyDescent="0.2">
      <c r="A19" s="1">
        <v>1001017</v>
      </c>
      <c r="B19" s="1" t="s">
        <v>32</v>
      </c>
      <c r="C19" s="1">
        <v>1</v>
      </c>
      <c r="D19" s="1">
        <v>1001</v>
      </c>
      <c r="E19" s="1">
        <v>45500</v>
      </c>
      <c r="F19" s="1">
        <v>280</v>
      </c>
      <c r="G19" s="1">
        <v>179</v>
      </c>
      <c r="H19" s="1">
        <v>16</v>
      </c>
      <c r="I19" s="1">
        <v>56</v>
      </c>
      <c r="J19" s="1">
        <v>28</v>
      </c>
      <c r="K19" s="1">
        <v>1.4</v>
      </c>
      <c r="L19" s="1">
        <v>10</v>
      </c>
      <c r="M19" s="1">
        <v>63</v>
      </c>
      <c r="O19" s="1" t="str">
        <f t="shared" si="0"/>
        <v>第17波杂兵</v>
      </c>
    </row>
    <row r="20" spans="1:15" x14ac:dyDescent="0.2">
      <c r="A20" s="1">
        <v>1001018</v>
      </c>
      <c r="B20" s="1" t="s">
        <v>32</v>
      </c>
      <c r="C20" s="1">
        <v>1</v>
      </c>
      <c r="D20" s="1">
        <v>1001</v>
      </c>
      <c r="E20" s="1">
        <v>49000</v>
      </c>
      <c r="F20" s="1">
        <v>280</v>
      </c>
      <c r="G20" s="1">
        <v>201</v>
      </c>
      <c r="H20" s="1">
        <v>16</v>
      </c>
      <c r="I20" s="1">
        <v>59</v>
      </c>
      <c r="J20" s="1">
        <v>29.5</v>
      </c>
      <c r="K20" s="1">
        <v>1.4</v>
      </c>
      <c r="L20" s="1">
        <v>10</v>
      </c>
      <c r="M20" s="1">
        <v>64</v>
      </c>
      <c r="O20" s="1" t="str">
        <f t="shared" si="0"/>
        <v>第18波杂兵</v>
      </c>
    </row>
    <row r="21" spans="1:15" x14ac:dyDescent="0.2">
      <c r="A21" s="1">
        <v>1001019</v>
      </c>
      <c r="B21" s="1" t="s">
        <v>32</v>
      </c>
      <c r="C21" s="1">
        <v>1</v>
      </c>
      <c r="D21" s="1">
        <v>1001</v>
      </c>
      <c r="E21" s="1">
        <f>E20+3500</f>
        <v>52500</v>
      </c>
      <c r="F21" s="1">
        <v>280</v>
      </c>
      <c r="G21" s="1">
        <v>221</v>
      </c>
      <c r="H21" s="1">
        <v>16</v>
      </c>
      <c r="I21" s="1">
        <v>62</v>
      </c>
      <c r="J21" s="1">
        <v>31</v>
      </c>
      <c r="K21" s="1">
        <v>1.4</v>
      </c>
      <c r="L21" s="1">
        <v>10</v>
      </c>
      <c r="M21" s="1">
        <v>65</v>
      </c>
      <c r="O21" s="1" t="str">
        <f t="shared" si="0"/>
        <v>第19波杂兵</v>
      </c>
    </row>
    <row r="22" spans="1:15" x14ac:dyDescent="0.2">
      <c r="A22" s="1">
        <v>1001021</v>
      </c>
      <c r="B22" s="1" t="s">
        <v>32</v>
      </c>
      <c r="C22" s="1">
        <v>1</v>
      </c>
      <c r="D22" s="1">
        <v>1001</v>
      </c>
      <c r="E22" s="1">
        <v>63000</v>
      </c>
      <c r="F22" s="1">
        <v>280</v>
      </c>
      <c r="G22" s="1">
        <v>282</v>
      </c>
      <c r="H22" s="1">
        <v>16</v>
      </c>
      <c r="I22" s="1">
        <v>68</v>
      </c>
      <c r="J22" s="1">
        <v>34</v>
      </c>
      <c r="K22" s="1">
        <v>1.4</v>
      </c>
      <c r="L22" s="1">
        <v>10</v>
      </c>
      <c r="M22" s="1">
        <v>67</v>
      </c>
      <c r="O22" s="1" t="str">
        <f t="shared" si="0"/>
        <v>第21波杂兵</v>
      </c>
    </row>
    <row r="23" spans="1:15" x14ac:dyDescent="0.2">
      <c r="A23" s="1">
        <v>1001022</v>
      </c>
      <c r="B23" s="1" t="s">
        <v>32</v>
      </c>
      <c r="C23" s="1">
        <v>1</v>
      </c>
      <c r="D23" s="1">
        <v>1001</v>
      </c>
      <c r="E23" s="1">
        <v>77000</v>
      </c>
      <c r="F23" s="1">
        <v>280</v>
      </c>
      <c r="G23" s="1">
        <v>316</v>
      </c>
      <c r="H23" s="1">
        <v>16</v>
      </c>
      <c r="I23" s="1">
        <v>71</v>
      </c>
      <c r="J23" s="1">
        <v>35.5</v>
      </c>
      <c r="K23" s="1">
        <v>1.4</v>
      </c>
      <c r="L23" s="1">
        <v>10</v>
      </c>
      <c r="M23" s="1">
        <v>68</v>
      </c>
      <c r="O23" s="1" t="str">
        <f t="shared" si="0"/>
        <v>第22波杂兵</v>
      </c>
    </row>
    <row r="24" spans="1:15" x14ac:dyDescent="0.2">
      <c r="A24" s="1">
        <v>1001023</v>
      </c>
      <c r="B24" s="1" t="s">
        <v>32</v>
      </c>
      <c r="C24" s="1">
        <v>1</v>
      </c>
      <c r="D24" s="1">
        <v>1001</v>
      </c>
      <c r="E24" s="1">
        <v>91000</v>
      </c>
      <c r="F24" s="1">
        <v>280</v>
      </c>
      <c r="G24" s="1">
        <v>354</v>
      </c>
      <c r="H24" s="1">
        <v>16</v>
      </c>
      <c r="I24" s="1">
        <v>74</v>
      </c>
      <c r="J24" s="1">
        <v>37</v>
      </c>
      <c r="K24" s="1">
        <v>1.4</v>
      </c>
      <c r="L24" s="1">
        <v>10</v>
      </c>
      <c r="M24" s="1">
        <v>69</v>
      </c>
      <c r="O24" s="1" t="str">
        <f t="shared" si="0"/>
        <v>第23波杂兵</v>
      </c>
    </row>
    <row r="25" spans="1:15" x14ac:dyDescent="0.2">
      <c r="A25" s="1">
        <v>1001024</v>
      </c>
      <c r="B25" s="1" t="s">
        <v>32</v>
      </c>
      <c r="C25" s="1">
        <v>1</v>
      </c>
      <c r="D25" s="1">
        <v>1001</v>
      </c>
      <c r="E25" s="1">
        <v>119000</v>
      </c>
      <c r="F25" s="1">
        <v>280</v>
      </c>
      <c r="G25" s="1">
        <v>397</v>
      </c>
      <c r="H25" s="1">
        <v>16</v>
      </c>
      <c r="I25" s="1">
        <v>77</v>
      </c>
      <c r="J25" s="1">
        <v>38.5</v>
      </c>
      <c r="K25" s="1">
        <v>1.4</v>
      </c>
      <c r="L25" s="1">
        <v>10</v>
      </c>
      <c r="M25" s="1">
        <v>70</v>
      </c>
      <c r="O25" s="1" t="str">
        <f t="shared" si="0"/>
        <v>第24波杂兵</v>
      </c>
    </row>
    <row r="26" spans="1:15" x14ac:dyDescent="0.2">
      <c r="A26" s="1">
        <v>1001025</v>
      </c>
      <c r="B26" s="1" t="s">
        <v>32</v>
      </c>
      <c r="C26" s="1">
        <v>1</v>
      </c>
      <c r="D26" s="1">
        <v>1001</v>
      </c>
      <c r="E26" s="1">
        <v>126000</v>
      </c>
      <c r="F26" s="1">
        <v>280</v>
      </c>
      <c r="G26" s="1">
        <v>445</v>
      </c>
      <c r="H26" s="1">
        <v>16</v>
      </c>
      <c r="I26" s="1">
        <v>80</v>
      </c>
      <c r="J26" s="1">
        <v>40</v>
      </c>
      <c r="K26" s="1">
        <v>1.4</v>
      </c>
      <c r="L26" s="1">
        <v>10</v>
      </c>
      <c r="M26" s="1">
        <v>71</v>
      </c>
      <c r="O26" s="1" t="str">
        <f t="shared" si="0"/>
        <v>第25波杂兵</v>
      </c>
    </row>
    <row r="27" spans="1:15" x14ac:dyDescent="0.2">
      <c r="A27" s="1">
        <v>1001026</v>
      </c>
      <c r="B27" s="1" t="s">
        <v>32</v>
      </c>
      <c r="C27" s="1">
        <v>1</v>
      </c>
      <c r="D27" s="1">
        <v>1001</v>
      </c>
      <c r="E27" s="1">
        <v>140000</v>
      </c>
      <c r="F27" s="1">
        <v>280</v>
      </c>
      <c r="G27" s="1">
        <v>498</v>
      </c>
      <c r="H27" s="1">
        <v>16</v>
      </c>
      <c r="I27" s="1">
        <v>83</v>
      </c>
      <c r="J27" s="1">
        <v>41.5</v>
      </c>
      <c r="K27" s="1">
        <v>1.4</v>
      </c>
      <c r="L27" s="1">
        <v>10</v>
      </c>
      <c r="M27" s="1">
        <v>72</v>
      </c>
      <c r="O27" s="1" t="str">
        <f t="shared" si="0"/>
        <v>第26波杂兵</v>
      </c>
    </row>
    <row r="28" spans="1:15" x14ac:dyDescent="0.2">
      <c r="A28" s="1">
        <v>1001027</v>
      </c>
      <c r="B28" s="1" t="s">
        <v>32</v>
      </c>
      <c r="C28" s="1">
        <v>1</v>
      </c>
      <c r="D28" s="1">
        <v>1001</v>
      </c>
      <c r="E28" s="1">
        <v>154000</v>
      </c>
      <c r="F28" s="1">
        <v>280</v>
      </c>
      <c r="G28" s="1">
        <v>558</v>
      </c>
      <c r="H28" s="1">
        <v>16</v>
      </c>
      <c r="I28" s="1">
        <v>86</v>
      </c>
      <c r="J28" s="1">
        <v>43</v>
      </c>
      <c r="K28" s="1">
        <v>1.4</v>
      </c>
      <c r="L28" s="1">
        <v>10</v>
      </c>
      <c r="M28" s="1">
        <v>73</v>
      </c>
      <c r="O28" s="1" t="str">
        <f t="shared" si="0"/>
        <v>第27波杂兵</v>
      </c>
    </row>
    <row r="29" spans="1:15" x14ac:dyDescent="0.2">
      <c r="A29" s="1">
        <v>1001028</v>
      </c>
      <c r="B29" s="1" t="s">
        <v>32</v>
      </c>
      <c r="C29" s="1">
        <v>1</v>
      </c>
      <c r="D29" s="1">
        <v>1001</v>
      </c>
      <c r="E29" s="1">
        <v>169400</v>
      </c>
      <c r="F29" s="1">
        <v>280</v>
      </c>
      <c r="G29" s="1">
        <v>625</v>
      </c>
      <c r="H29" s="1">
        <v>16</v>
      </c>
      <c r="I29" s="1">
        <v>89</v>
      </c>
      <c r="J29" s="1">
        <v>44.5</v>
      </c>
      <c r="K29" s="1">
        <v>1.4</v>
      </c>
      <c r="L29" s="1">
        <v>10</v>
      </c>
      <c r="M29" s="1">
        <v>74</v>
      </c>
      <c r="O29" s="1" t="str">
        <f t="shared" si="0"/>
        <v>第28波杂兵</v>
      </c>
    </row>
    <row r="30" spans="1:15" x14ac:dyDescent="0.2">
      <c r="A30" s="1">
        <v>1001029</v>
      </c>
      <c r="B30" s="1" t="s">
        <v>32</v>
      </c>
      <c r="C30" s="1">
        <v>1</v>
      </c>
      <c r="D30" s="1">
        <v>1001</v>
      </c>
      <c r="E30" s="1">
        <v>184800</v>
      </c>
      <c r="F30" s="1">
        <v>280</v>
      </c>
      <c r="G30" s="1">
        <v>692</v>
      </c>
      <c r="H30" s="1">
        <v>16</v>
      </c>
      <c r="I30" s="1">
        <v>92</v>
      </c>
      <c r="J30" s="1">
        <v>46</v>
      </c>
      <c r="K30" s="1">
        <v>1.4</v>
      </c>
      <c r="L30" s="1">
        <v>10</v>
      </c>
      <c r="M30" s="1">
        <v>75</v>
      </c>
      <c r="O30" s="1" t="str">
        <f t="shared" si="0"/>
        <v>第29波杂兵</v>
      </c>
    </row>
    <row r="31" spans="1:15" x14ac:dyDescent="0.2">
      <c r="A31" s="1">
        <v>1002001</v>
      </c>
      <c r="B31" s="1" t="s">
        <v>33</v>
      </c>
      <c r="C31" s="1">
        <v>2</v>
      </c>
      <c r="D31" s="1">
        <v>1003</v>
      </c>
      <c r="E31" s="1">
        <v>1050</v>
      </c>
      <c r="F31" s="1">
        <v>300</v>
      </c>
      <c r="G31" s="1">
        <v>5</v>
      </c>
      <c r="H31" s="1">
        <v>24</v>
      </c>
      <c r="I31" s="1">
        <v>10</v>
      </c>
      <c r="J31" s="1">
        <v>5</v>
      </c>
      <c r="K31" s="1">
        <v>1.4</v>
      </c>
      <c r="L31" s="1">
        <v>10</v>
      </c>
      <c r="M31" s="1">
        <v>200</v>
      </c>
      <c r="O31" s="1" t="str">
        <f>"第"&amp;VALUE(RIGHT(A31,2))&amp;"波精英"</f>
        <v>第1波精英</v>
      </c>
    </row>
    <row r="32" spans="1:15" x14ac:dyDescent="0.2">
      <c r="A32" s="1">
        <v>1002002</v>
      </c>
      <c r="B32" s="1" t="s">
        <v>33</v>
      </c>
      <c r="C32" s="1">
        <v>2</v>
      </c>
      <c r="D32" s="1">
        <v>1003</v>
      </c>
      <c r="E32" s="1">
        <v>3150</v>
      </c>
      <c r="F32" s="1">
        <v>300</v>
      </c>
      <c r="G32" s="1">
        <v>19</v>
      </c>
      <c r="H32" s="1">
        <v>24</v>
      </c>
      <c r="I32" s="1">
        <v>14</v>
      </c>
      <c r="J32" s="1">
        <v>7</v>
      </c>
      <c r="K32" s="1">
        <v>1.4</v>
      </c>
      <c r="L32" s="1">
        <v>10</v>
      </c>
      <c r="M32" s="1">
        <v>200</v>
      </c>
      <c r="O32" s="1" t="str">
        <f t="shared" ref="O32:O57" si="1">"第"&amp;VALUE(RIGHT(A32,2))&amp;"波精英"</f>
        <v>第2波精英</v>
      </c>
    </row>
    <row r="33" spans="1:15" x14ac:dyDescent="0.2">
      <c r="A33" s="1">
        <v>1002003</v>
      </c>
      <c r="B33" s="1" t="s">
        <v>33</v>
      </c>
      <c r="C33" s="1">
        <v>2</v>
      </c>
      <c r="D33" s="1">
        <v>1003</v>
      </c>
      <c r="E33" s="1">
        <v>6300</v>
      </c>
      <c r="F33" s="1">
        <v>300</v>
      </c>
      <c r="G33" s="1">
        <v>36</v>
      </c>
      <c r="H33" s="1">
        <v>24</v>
      </c>
      <c r="I33" s="1">
        <v>22</v>
      </c>
      <c r="J33" s="1">
        <v>11</v>
      </c>
      <c r="K33" s="1">
        <v>1.4</v>
      </c>
      <c r="L33" s="1">
        <v>10</v>
      </c>
      <c r="M33" s="1">
        <v>200</v>
      </c>
      <c r="O33" s="1" t="str">
        <f t="shared" si="1"/>
        <v>第3波精英</v>
      </c>
    </row>
    <row r="34" spans="1:15" x14ac:dyDescent="0.2">
      <c r="A34" s="1">
        <v>1002004</v>
      </c>
      <c r="B34" s="1" t="s">
        <v>33</v>
      </c>
      <c r="C34" s="1">
        <v>2</v>
      </c>
      <c r="D34" s="1">
        <v>1003</v>
      </c>
      <c r="E34" s="1">
        <v>10500</v>
      </c>
      <c r="F34" s="1">
        <v>300</v>
      </c>
      <c r="G34" s="1">
        <v>50</v>
      </c>
      <c r="H34" s="1">
        <v>24</v>
      </c>
      <c r="I34" s="1">
        <v>28</v>
      </c>
      <c r="J34" s="1">
        <v>14</v>
      </c>
      <c r="K34" s="1">
        <v>1.4</v>
      </c>
      <c r="L34" s="1">
        <v>10</v>
      </c>
      <c r="M34" s="1">
        <v>200</v>
      </c>
      <c r="O34" s="1" t="str">
        <f t="shared" si="1"/>
        <v>第4波精英</v>
      </c>
    </row>
    <row r="35" spans="1:15" x14ac:dyDescent="0.2">
      <c r="A35" s="1">
        <v>1002005</v>
      </c>
      <c r="B35" s="1" t="s">
        <v>33</v>
      </c>
      <c r="C35" s="1">
        <v>2</v>
      </c>
      <c r="D35" s="1">
        <v>1003</v>
      </c>
      <c r="E35" s="1">
        <v>16800</v>
      </c>
      <c r="F35" s="1">
        <v>300</v>
      </c>
      <c r="G35" s="1">
        <v>70</v>
      </c>
      <c r="H35" s="1">
        <v>24</v>
      </c>
      <c r="I35" s="1">
        <v>34</v>
      </c>
      <c r="J35" s="1">
        <v>17</v>
      </c>
      <c r="K35" s="1">
        <v>1.4</v>
      </c>
      <c r="L35" s="1">
        <v>10</v>
      </c>
      <c r="M35" s="1">
        <v>200</v>
      </c>
      <c r="O35" s="1" t="str">
        <f t="shared" si="1"/>
        <v>第5波精英</v>
      </c>
    </row>
    <row r="36" spans="1:15" x14ac:dyDescent="0.2">
      <c r="A36" s="1">
        <v>1002006</v>
      </c>
      <c r="B36" s="1" t="s">
        <v>33</v>
      </c>
      <c r="C36" s="1">
        <v>2</v>
      </c>
      <c r="D36" s="1">
        <v>1003</v>
      </c>
      <c r="E36" s="1">
        <v>21000</v>
      </c>
      <c r="F36" s="1">
        <v>300</v>
      </c>
      <c r="G36" s="1">
        <v>98</v>
      </c>
      <c r="H36" s="1">
        <v>24</v>
      </c>
      <c r="I36" s="1">
        <v>40</v>
      </c>
      <c r="J36" s="1">
        <v>20</v>
      </c>
      <c r="K36" s="1">
        <v>1.4</v>
      </c>
      <c r="L36" s="1">
        <v>10</v>
      </c>
      <c r="M36" s="1">
        <v>200</v>
      </c>
      <c r="O36" s="1" t="str">
        <f t="shared" si="1"/>
        <v>第6波精英</v>
      </c>
    </row>
    <row r="37" spans="1:15" x14ac:dyDescent="0.2">
      <c r="A37" s="1">
        <v>1002007</v>
      </c>
      <c r="B37" s="1" t="s">
        <v>33</v>
      </c>
      <c r="C37" s="1">
        <v>2</v>
      </c>
      <c r="D37" s="1">
        <v>1003</v>
      </c>
      <c r="E37" s="1">
        <v>25200</v>
      </c>
      <c r="F37" s="1">
        <v>300</v>
      </c>
      <c r="G37" s="1">
        <v>125</v>
      </c>
      <c r="H37" s="1">
        <v>24</v>
      </c>
      <c r="I37" s="1">
        <v>46</v>
      </c>
      <c r="J37" s="1">
        <v>23</v>
      </c>
      <c r="K37" s="1">
        <v>1.4</v>
      </c>
      <c r="L37" s="1">
        <v>10</v>
      </c>
      <c r="M37" s="1">
        <v>200</v>
      </c>
      <c r="O37" s="1" t="str">
        <f t="shared" si="1"/>
        <v>第7波精英</v>
      </c>
    </row>
    <row r="38" spans="1:15" x14ac:dyDescent="0.2">
      <c r="A38" s="1">
        <v>1002008</v>
      </c>
      <c r="B38" s="1" t="s">
        <v>33</v>
      </c>
      <c r="C38" s="1">
        <v>2</v>
      </c>
      <c r="D38" s="1">
        <v>1003</v>
      </c>
      <c r="E38" s="1">
        <v>29400</v>
      </c>
      <c r="F38" s="1">
        <v>300</v>
      </c>
      <c r="G38" s="1">
        <v>154</v>
      </c>
      <c r="H38" s="1">
        <v>24</v>
      </c>
      <c r="I38" s="1">
        <v>52</v>
      </c>
      <c r="J38" s="1">
        <v>26</v>
      </c>
      <c r="K38" s="1">
        <v>1.4</v>
      </c>
      <c r="L38" s="1">
        <v>10</v>
      </c>
      <c r="M38" s="1">
        <v>200</v>
      </c>
      <c r="O38" s="1" t="str">
        <f t="shared" si="1"/>
        <v>第8波精英</v>
      </c>
    </row>
    <row r="39" spans="1:15" x14ac:dyDescent="0.2">
      <c r="A39" s="1">
        <v>1002009</v>
      </c>
      <c r="B39" s="1" t="s">
        <v>33</v>
      </c>
      <c r="C39" s="1">
        <v>2</v>
      </c>
      <c r="D39" s="1">
        <v>1003</v>
      </c>
      <c r="E39" s="1">
        <v>33600</v>
      </c>
      <c r="F39" s="1">
        <v>300</v>
      </c>
      <c r="G39" s="1">
        <v>190</v>
      </c>
      <c r="H39" s="1">
        <v>24</v>
      </c>
      <c r="I39" s="1">
        <v>58</v>
      </c>
      <c r="J39" s="1">
        <v>29</v>
      </c>
      <c r="K39" s="1">
        <v>1.4</v>
      </c>
      <c r="L39" s="1">
        <v>10</v>
      </c>
      <c r="M39" s="1">
        <v>200</v>
      </c>
      <c r="O39" s="1" t="str">
        <f t="shared" si="1"/>
        <v>第9波精英</v>
      </c>
    </row>
    <row r="40" spans="1:15" x14ac:dyDescent="0.2">
      <c r="A40" s="1">
        <v>1002011</v>
      </c>
      <c r="B40" s="1" t="s">
        <v>33</v>
      </c>
      <c r="C40" s="1">
        <v>2</v>
      </c>
      <c r="D40" s="1">
        <v>1003</v>
      </c>
      <c r="E40" s="1">
        <v>54600</v>
      </c>
      <c r="F40" s="1">
        <v>300</v>
      </c>
      <c r="G40" s="1">
        <v>322</v>
      </c>
      <c r="H40" s="1">
        <v>24</v>
      </c>
      <c r="I40" s="1">
        <v>76</v>
      </c>
      <c r="J40" s="1">
        <v>38</v>
      </c>
      <c r="K40" s="1">
        <v>1.4</v>
      </c>
      <c r="L40" s="1">
        <v>10</v>
      </c>
      <c r="M40" s="1">
        <v>400</v>
      </c>
      <c r="O40" s="1" t="str">
        <f t="shared" si="1"/>
        <v>第11波精英</v>
      </c>
    </row>
    <row r="41" spans="1:15" x14ac:dyDescent="0.2">
      <c r="A41" s="1">
        <v>1002012</v>
      </c>
      <c r="B41" s="1" t="s">
        <v>33</v>
      </c>
      <c r="C41" s="1">
        <v>2</v>
      </c>
      <c r="D41" s="1">
        <v>1003</v>
      </c>
      <c r="E41" s="1">
        <v>63000</v>
      </c>
      <c r="F41" s="1">
        <v>300</v>
      </c>
      <c r="G41" s="1">
        <v>364</v>
      </c>
      <c r="H41" s="1">
        <v>24</v>
      </c>
      <c r="I41" s="1">
        <v>82</v>
      </c>
      <c r="J41" s="1">
        <v>41</v>
      </c>
      <c r="K41" s="1">
        <v>1.4</v>
      </c>
      <c r="L41" s="1">
        <v>10</v>
      </c>
      <c r="M41" s="1">
        <v>400</v>
      </c>
      <c r="O41" s="1" t="str">
        <f t="shared" si="1"/>
        <v>第12波精英</v>
      </c>
    </row>
    <row r="42" spans="1:15" x14ac:dyDescent="0.2">
      <c r="A42" s="1">
        <v>1002013</v>
      </c>
      <c r="B42" s="1" t="s">
        <v>33</v>
      </c>
      <c r="C42" s="1">
        <v>2</v>
      </c>
      <c r="D42" s="1">
        <v>1003</v>
      </c>
      <c r="E42" s="1">
        <v>73500</v>
      </c>
      <c r="F42" s="1">
        <v>300</v>
      </c>
      <c r="G42" s="1">
        <v>406</v>
      </c>
      <c r="H42" s="1">
        <v>24</v>
      </c>
      <c r="I42" s="1">
        <v>88</v>
      </c>
      <c r="J42" s="1">
        <v>44</v>
      </c>
      <c r="K42" s="1">
        <v>1.4</v>
      </c>
      <c r="L42" s="1">
        <v>10</v>
      </c>
      <c r="M42" s="1">
        <v>400</v>
      </c>
      <c r="O42" s="1" t="str">
        <f t="shared" si="1"/>
        <v>第13波精英</v>
      </c>
    </row>
    <row r="43" spans="1:15" x14ac:dyDescent="0.2">
      <c r="A43" s="1">
        <v>1002014</v>
      </c>
      <c r="B43" s="1" t="s">
        <v>33</v>
      </c>
      <c r="C43" s="1">
        <v>2</v>
      </c>
      <c r="D43" s="1">
        <v>1003</v>
      </c>
      <c r="E43" s="1">
        <v>105000</v>
      </c>
      <c r="F43" s="1">
        <v>300</v>
      </c>
      <c r="G43" s="1">
        <v>448</v>
      </c>
      <c r="H43" s="1">
        <v>24</v>
      </c>
      <c r="I43" s="1">
        <v>94</v>
      </c>
      <c r="J43" s="1">
        <v>47</v>
      </c>
      <c r="K43" s="1">
        <v>1.4</v>
      </c>
      <c r="L43" s="1">
        <v>10</v>
      </c>
      <c r="M43" s="1">
        <v>400</v>
      </c>
      <c r="O43" s="1" t="str">
        <f t="shared" si="1"/>
        <v>第14波精英</v>
      </c>
    </row>
    <row r="44" spans="1:15" x14ac:dyDescent="0.2">
      <c r="A44" s="1">
        <v>1002015</v>
      </c>
      <c r="B44" s="1" t="s">
        <v>33</v>
      </c>
      <c r="C44" s="1">
        <v>2</v>
      </c>
      <c r="D44" s="1">
        <v>1003</v>
      </c>
      <c r="E44" s="1">
        <v>115500</v>
      </c>
      <c r="F44" s="1">
        <v>300</v>
      </c>
      <c r="G44" s="1">
        <v>501</v>
      </c>
      <c r="H44" s="1">
        <v>24</v>
      </c>
      <c r="I44" s="1">
        <v>100</v>
      </c>
      <c r="J44" s="1">
        <v>50</v>
      </c>
      <c r="K44" s="1">
        <v>1.4</v>
      </c>
      <c r="L44" s="1">
        <v>10</v>
      </c>
      <c r="M44" s="1">
        <v>400</v>
      </c>
      <c r="O44" s="1" t="str">
        <f t="shared" si="1"/>
        <v>第15波精英</v>
      </c>
    </row>
    <row r="45" spans="1:15" x14ac:dyDescent="0.2">
      <c r="A45" s="1">
        <v>1002016</v>
      </c>
      <c r="B45" s="1" t="s">
        <v>33</v>
      </c>
      <c r="C45" s="1">
        <v>2</v>
      </c>
      <c r="D45" s="1">
        <v>1003</v>
      </c>
      <c r="E45" s="1">
        <v>126000</v>
      </c>
      <c r="F45" s="1">
        <v>300</v>
      </c>
      <c r="G45" s="1">
        <v>561</v>
      </c>
      <c r="H45" s="1">
        <v>24</v>
      </c>
      <c r="I45" s="1">
        <v>106</v>
      </c>
      <c r="J45" s="1">
        <v>53</v>
      </c>
      <c r="K45" s="1">
        <v>1.4</v>
      </c>
      <c r="L45" s="1">
        <v>10</v>
      </c>
      <c r="M45" s="1">
        <v>400</v>
      </c>
      <c r="O45" s="1" t="str">
        <f t="shared" si="1"/>
        <v>第16波精英</v>
      </c>
    </row>
    <row r="46" spans="1:15" x14ac:dyDescent="0.2">
      <c r="A46" s="1">
        <v>1002017</v>
      </c>
      <c r="B46" s="1" t="s">
        <v>33</v>
      </c>
      <c r="C46" s="1">
        <v>2</v>
      </c>
      <c r="D46" s="1">
        <v>1003</v>
      </c>
      <c r="E46" s="1">
        <v>136500</v>
      </c>
      <c r="F46" s="1">
        <v>300</v>
      </c>
      <c r="G46" s="1">
        <v>629</v>
      </c>
      <c r="H46" s="1">
        <v>24</v>
      </c>
      <c r="I46" s="1">
        <v>112</v>
      </c>
      <c r="J46" s="1">
        <v>56</v>
      </c>
      <c r="K46" s="1">
        <v>1.4</v>
      </c>
      <c r="L46" s="1">
        <v>10</v>
      </c>
      <c r="M46" s="1">
        <v>400</v>
      </c>
      <c r="O46" s="1" t="str">
        <f t="shared" si="1"/>
        <v>第17波精英</v>
      </c>
    </row>
    <row r="47" spans="1:15" x14ac:dyDescent="0.2">
      <c r="A47" s="1">
        <v>1002018</v>
      </c>
      <c r="B47" s="1" t="s">
        <v>33</v>
      </c>
      <c r="C47" s="1">
        <v>2</v>
      </c>
      <c r="D47" s="1">
        <v>1003</v>
      </c>
      <c r="E47" s="1">
        <v>147000</v>
      </c>
      <c r="F47" s="1">
        <v>300</v>
      </c>
      <c r="G47" s="1">
        <v>704</v>
      </c>
      <c r="H47" s="1">
        <v>24</v>
      </c>
      <c r="I47" s="1">
        <v>118</v>
      </c>
      <c r="J47" s="1">
        <v>59</v>
      </c>
      <c r="K47" s="1">
        <v>1.4</v>
      </c>
      <c r="L47" s="1">
        <v>10</v>
      </c>
      <c r="M47" s="1">
        <v>400</v>
      </c>
      <c r="O47" s="1" t="str">
        <f t="shared" si="1"/>
        <v>第18波精英</v>
      </c>
    </row>
    <row r="48" spans="1:15" x14ac:dyDescent="0.2">
      <c r="A48" s="1">
        <v>1002019</v>
      </c>
      <c r="B48" s="1" t="s">
        <v>33</v>
      </c>
      <c r="C48" s="1">
        <v>2</v>
      </c>
      <c r="D48" s="1">
        <v>1003</v>
      </c>
      <c r="E48" s="1">
        <v>157500</v>
      </c>
      <c r="F48" s="1">
        <v>300</v>
      </c>
      <c r="G48" s="1">
        <v>779</v>
      </c>
      <c r="H48" s="1">
        <v>24</v>
      </c>
      <c r="I48" s="1">
        <v>124</v>
      </c>
      <c r="J48" s="1">
        <v>62</v>
      </c>
      <c r="K48" s="1">
        <v>1.4</v>
      </c>
      <c r="L48" s="1">
        <v>10</v>
      </c>
      <c r="M48" s="1">
        <v>400</v>
      </c>
      <c r="O48" s="1" t="str">
        <f t="shared" si="1"/>
        <v>第19波精英</v>
      </c>
    </row>
    <row r="49" spans="1:15" x14ac:dyDescent="0.2">
      <c r="A49" s="1">
        <v>1002021</v>
      </c>
      <c r="B49" s="1" t="s">
        <v>33</v>
      </c>
      <c r="C49" s="1">
        <v>2</v>
      </c>
      <c r="D49" s="1">
        <v>1003</v>
      </c>
      <c r="E49" s="1">
        <v>189000</v>
      </c>
      <c r="F49" s="1">
        <v>300</v>
      </c>
      <c r="G49" s="1">
        <v>990</v>
      </c>
      <c r="H49" s="1">
        <v>24</v>
      </c>
      <c r="I49" s="1">
        <v>136</v>
      </c>
      <c r="J49" s="1">
        <v>68</v>
      </c>
      <c r="K49" s="1">
        <v>1.4</v>
      </c>
      <c r="L49" s="1">
        <v>10</v>
      </c>
      <c r="M49" s="1">
        <v>600</v>
      </c>
      <c r="O49" s="1" t="str">
        <f t="shared" si="1"/>
        <v>第21波精英</v>
      </c>
    </row>
    <row r="50" spans="1:15" x14ac:dyDescent="0.2">
      <c r="A50" s="1">
        <v>1002022</v>
      </c>
      <c r="B50" s="1" t="s">
        <v>33</v>
      </c>
      <c r="C50" s="1">
        <v>2</v>
      </c>
      <c r="D50" s="1">
        <v>1003</v>
      </c>
      <c r="E50" s="1">
        <v>231000</v>
      </c>
      <c r="F50" s="1">
        <v>300</v>
      </c>
      <c r="G50" s="1">
        <v>1109</v>
      </c>
      <c r="H50" s="1">
        <v>24</v>
      </c>
      <c r="I50" s="1">
        <v>142</v>
      </c>
      <c r="J50" s="1">
        <v>71</v>
      </c>
      <c r="K50" s="1">
        <v>1.4</v>
      </c>
      <c r="L50" s="1">
        <v>10</v>
      </c>
      <c r="M50" s="1">
        <v>600</v>
      </c>
      <c r="O50" s="1" t="str">
        <f t="shared" si="1"/>
        <v>第22波精英</v>
      </c>
    </row>
    <row r="51" spans="1:15" x14ac:dyDescent="0.2">
      <c r="A51" s="1">
        <v>1002023</v>
      </c>
      <c r="B51" s="1" t="s">
        <v>33</v>
      </c>
      <c r="C51" s="1">
        <v>2</v>
      </c>
      <c r="D51" s="1">
        <v>1003</v>
      </c>
      <c r="E51" s="1">
        <v>273000</v>
      </c>
      <c r="F51" s="1">
        <v>300</v>
      </c>
      <c r="G51" s="1">
        <v>1242</v>
      </c>
      <c r="H51" s="1">
        <v>24</v>
      </c>
      <c r="I51" s="1">
        <v>148</v>
      </c>
      <c r="J51" s="1">
        <v>74</v>
      </c>
      <c r="K51" s="1">
        <v>1.4</v>
      </c>
      <c r="L51" s="1">
        <v>10</v>
      </c>
      <c r="M51" s="1">
        <v>600</v>
      </c>
      <c r="O51" s="1" t="str">
        <f t="shared" si="1"/>
        <v>第23波精英</v>
      </c>
    </row>
    <row r="52" spans="1:15" x14ac:dyDescent="0.2">
      <c r="A52" s="1">
        <v>1002024</v>
      </c>
      <c r="B52" s="1" t="s">
        <v>33</v>
      </c>
      <c r="C52" s="1">
        <v>2</v>
      </c>
      <c r="D52" s="1">
        <v>1003</v>
      </c>
      <c r="E52" s="1">
        <v>357000</v>
      </c>
      <c r="F52" s="1">
        <v>300</v>
      </c>
      <c r="G52" s="1">
        <v>1391</v>
      </c>
      <c r="H52" s="1">
        <v>24</v>
      </c>
      <c r="I52" s="1">
        <v>154</v>
      </c>
      <c r="J52" s="1">
        <v>77</v>
      </c>
      <c r="K52" s="1">
        <v>1.4</v>
      </c>
      <c r="L52" s="1">
        <v>10</v>
      </c>
      <c r="M52" s="1">
        <v>600</v>
      </c>
      <c r="O52" s="1" t="str">
        <f t="shared" si="1"/>
        <v>第24波精英</v>
      </c>
    </row>
    <row r="53" spans="1:15" x14ac:dyDescent="0.2">
      <c r="A53" s="1">
        <v>1002025</v>
      </c>
      <c r="B53" s="1" t="s">
        <v>33</v>
      </c>
      <c r="C53" s="1">
        <v>2</v>
      </c>
      <c r="D53" s="1">
        <v>1003</v>
      </c>
      <c r="E53" s="1">
        <v>378000</v>
      </c>
      <c r="F53" s="1">
        <v>300</v>
      </c>
      <c r="G53" s="1">
        <v>1558</v>
      </c>
      <c r="H53" s="1">
        <v>24</v>
      </c>
      <c r="I53" s="1">
        <v>160</v>
      </c>
      <c r="J53" s="1">
        <v>80</v>
      </c>
      <c r="K53" s="1">
        <v>1.4</v>
      </c>
      <c r="L53" s="1">
        <v>10</v>
      </c>
      <c r="M53" s="1">
        <v>600</v>
      </c>
      <c r="O53" s="1" t="str">
        <f t="shared" si="1"/>
        <v>第25波精英</v>
      </c>
    </row>
    <row r="54" spans="1:15" x14ac:dyDescent="0.2">
      <c r="A54" s="1">
        <v>1002026</v>
      </c>
      <c r="B54" s="1" t="s">
        <v>33</v>
      </c>
      <c r="C54" s="1">
        <v>2</v>
      </c>
      <c r="D54" s="1">
        <v>1003</v>
      </c>
      <c r="E54" s="1">
        <v>420000</v>
      </c>
      <c r="F54" s="1">
        <v>300</v>
      </c>
      <c r="G54" s="1">
        <v>1745</v>
      </c>
      <c r="H54" s="1">
        <v>24</v>
      </c>
      <c r="I54" s="1">
        <v>166</v>
      </c>
      <c r="J54" s="1">
        <v>83</v>
      </c>
      <c r="K54" s="1">
        <v>1.4</v>
      </c>
      <c r="L54" s="1">
        <v>10</v>
      </c>
      <c r="M54" s="1">
        <v>600</v>
      </c>
      <c r="O54" s="1" t="str">
        <f t="shared" si="1"/>
        <v>第26波精英</v>
      </c>
    </row>
    <row r="55" spans="1:15" x14ac:dyDescent="0.2">
      <c r="A55" s="1">
        <v>1002027</v>
      </c>
      <c r="B55" s="1" t="s">
        <v>33</v>
      </c>
      <c r="C55" s="1">
        <v>2</v>
      </c>
      <c r="D55" s="1">
        <v>1003</v>
      </c>
      <c r="E55" s="1">
        <v>462000</v>
      </c>
      <c r="F55" s="1">
        <v>300</v>
      </c>
      <c r="G55" s="1">
        <v>1954</v>
      </c>
      <c r="H55" s="1">
        <v>24</v>
      </c>
      <c r="I55" s="1">
        <v>172</v>
      </c>
      <c r="J55" s="1">
        <v>86</v>
      </c>
      <c r="K55" s="1">
        <v>1.4</v>
      </c>
      <c r="L55" s="1">
        <v>10</v>
      </c>
      <c r="M55" s="1">
        <v>600</v>
      </c>
      <c r="O55" s="1" t="str">
        <f t="shared" si="1"/>
        <v>第27波精英</v>
      </c>
    </row>
    <row r="56" spans="1:15" x14ac:dyDescent="0.2">
      <c r="A56" s="1">
        <v>1002028</v>
      </c>
      <c r="B56" s="1" t="s">
        <v>33</v>
      </c>
      <c r="C56" s="1">
        <v>2</v>
      </c>
      <c r="D56" s="1">
        <v>1003</v>
      </c>
      <c r="E56" s="1">
        <v>508200</v>
      </c>
      <c r="F56" s="1">
        <v>300</v>
      </c>
      <c r="G56" s="1">
        <v>2189</v>
      </c>
      <c r="H56" s="1">
        <v>24</v>
      </c>
      <c r="I56" s="1">
        <v>178</v>
      </c>
      <c r="J56" s="1">
        <v>89</v>
      </c>
      <c r="K56" s="1">
        <v>1.4</v>
      </c>
      <c r="L56" s="1">
        <v>10</v>
      </c>
      <c r="M56" s="1">
        <v>600</v>
      </c>
      <c r="O56" s="1" t="str">
        <f t="shared" si="1"/>
        <v>第28波精英</v>
      </c>
    </row>
    <row r="57" spans="1:15" x14ac:dyDescent="0.2">
      <c r="A57" s="1">
        <v>1002029</v>
      </c>
      <c r="B57" s="1" t="s">
        <v>33</v>
      </c>
      <c r="C57" s="1">
        <v>2</v>
      </c>
      <c r="D57" s="1">
        <v>1003</v>
      </c>
      <c r="E57" s="1">
        <v>554400</v>
      </c>
      <c r="F57" s="1">
        <v>300</v>
      </c>
      <c r="G57" s="1">
        <v>2424</v>
      </c>
      <c r="H57" s="1">
        <v>24</v>
      </c>
      <c r="I57" s="1">
        <v>184</v>
      </c>
      <c r="J57" s="1">
        <v>92</v>
      </c>
      <c r="K57" s="1">
        <v>1.4</v>
      </c>
      <c r="L57" s="1">
        <v>10</v>
      </c>
      <c r="M57" s="1">
        <v>600</v>
      </c>
      <c r="O57" s="1" t="str">
        <f t="shared" si="1"/>
        <v>第29波精英</v>
      </c>
    </row>
    <row r="58" spans="1:15" x14ac:dyDescent="0.2">
      <c r="A58" s="1">
        <v>1003010</v>
      </c>
      <c r="B58" s="1" t="s">
        <v>34</v>
      </c>
      <c r="C58" s="1">
        <v>3</v>
      </c>
      <c r="D58" s="1">
        <v>1004</v>
      </c>
      <c r="E58" s="1">
        <v>280000</v>
      </c>
      <c r="F58" s="1">
        <v>325</v>
      </c>
      <c r="G58" s="1">
        <v>1000</v>
      </c>
      <c r="H58" s="1">
        <v>64</v>
      </c>
      <c r="I58" s="1">
        <v>150</v>
      </c>
      <c r="J58" s="1">
        <v>75</v>
      </c>
      <c r="K58" s="1">
        <v>3.3</v>
      </c>
      <c r="O58" s="1" t="str">
        <f>"第"&amp;VALUE(RIGHT(A58,2))&amp;"波首领"</f>
        <v>第10波首领</v>
      </c>
    </row>
    <row r="59" spans="1:15" x14ac:dyDescent="0.2">
      <c r="A59" s="1">
        <v>1003020</v>
      </c>
      <c r="B59" s="1" t="s">
        <v>34</v>
      </c>
      <c r="C59" s="1">
        <v>3</v>
      </c>
      <c r="D59" s="1">
        <v>1004</v>
      </c>
      <c r="E59" s="1">
        <v>1750000</v>
      </c>
      <c r="F59" s="1">
        <v>325</v>
      </c>
      <c r="G59" s="1">
        <v>4000</v>
      </c>
      <c r="H59" s="1">
        <v>64</v>
      </c>
      <c r="I59" s="1">
        <v>250</v>
      </c>
      <c r="J59" s="1">
        <v>125</v>
      </c>
      <c r="K59" s="1">
        <v>3.3</v>
      </c>
      <c r="O59" s="1" t="str">
        <f>"第"&amp;VALUE(RIGHT(A59,2))&amp;"波首领"</f>
        <v>第20波首领</v>
      </c>
    </row>
    <row r="60" spans="1:15" x14ac:dyDescent="0.2">
      <c r="A60" s="1">
        <v>1003030</v>
      </c>
      <c r="B60" s="1" t="s">
        <v>34</v>
      </c>
      <c r="C60" s="1">
        <v>3</v>
      </c>
      <c r="D60" s="1">
        <v>1004</v>
      </c>
      <c r="E60" s="1">
        <v>8750000</v>
      </c>
      <c r="F60" s="1">
        <v>325</v>
      </c>
      <c r="G60" s="1">
        <v>16000</v>
      </c>
      <c r="H60" s="1">
        <v>64</v>
      </c>
      <c r="I60" s="1">
        <v>400</v>
      </c>
      <c r="J60" s="1">
        <v>400</v>
      </c>
      <c r="K60" s="1">
        <v>3.3</v>
      </c>
      <c r="O60" s="1" t="str">
        <f>"第"&amp;VALUE(RIGHT(A60,2))&amp;"波首领"</f>
        <v>第30波首领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2026-04-11T21:31:11Z</dcterms:created>
  <dcterms:modified xsi:type="dcterms:W3CDTF">2026-04-14T20:17:43Z</dcterms:modified>
</cp:coreProperties>
</file>